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4"/>
  <workbookPr filterPrivacy="1" defaultThemeVersion="124226"/>
  <xr:revisionPtr revIDLastSave="0" documentId="11_D5C956F2B7B5AD12A3522A32AB4022FCEAD5631D" xr6:coauthVersionLast="47" xr6:coauthVersionMax="47" xr10:uidLastSave="{00000000-0000-0000-0000-000000000000}"/>
  <bookViews>
    <workbookView xWindow="-105" yWindow="-105" windowWidth="19425" windowHeight="10425" firstSheet="1" activeTab="1" xr2:uid="{00000000-000D-0000-FFFF-FFFF00000000}"/>
  </bookViews>
  <sheets>
    <sheet name="FY 24-25 old regime" sheetId="4" r:id="rId1"/>
    <sheet name="FY 24-25 new regime"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7" i="5" l="1"/>
  <c r="E25" i="5"/>
  <c r="E23" i="5"/>
  <c r="I19" i="5"/>
  <c r="E19" i="5"/>
  <c r="I18" i="5"/>
  <c r="I44" i="5" s="1"/>
  <c r="E18" i="5"/>
  <c r="I17" i="5"/>
  <c r="E17" i="5"/>
  <c r="I16" i="5"/>
  <c r="E16" i="5"/>
  <c r="I15" i="5"/>
  <c r="E15" i="5"/>
  <c r="E14" i="5"/>
  <c r="I7" i="5"/>
  <c r="E4" i="5"/>
  <c r="E10" i="5" s="1"/>
  <c r="E20" i="5" s="1"/>
  <c r="E19" i="4"/>
  <c r="E44" i="5" l="1"/>
  <c r="E26" i="5"/>
  <c r="I26" i="5" s="1"/>
  <c r="I28" i="5" s="1"/>
  <c r="I4" i="5"/>
  <c r="I10" i="5" s="1"/>
  <c r="I20" i="5" s="1"/>
  <c r="I29" i="5" s="1"/>
  <c r="E4" i="4"/>
  <c r="I19" i="4"/>
  <c r="I18" i="4"/>
  <c r="I44" i="4" s="1"/>
  <c r="I17" i="4"/>
  <c r="I16" i="4"/>
  <c r="I15" i="4"/>
  <c r="I7" i="4"/>
  <c r="I41" i="5" l="1"/>
  <c r="I40" i="5"/>
  <c r="I39" i="5"/>
  <c r="E28" i="5"/>
  <c r="E29" i="5" s="1"/>
  <c r="E16" i="4"/>
  <c r="E27" i="4"/>
  <c r="E25" i="4"/>
  <c r="E23" i="4"/>
  <c r="E18" i="4"/>
  <c r="E17" i="4"/>
  <c r="E15" i="4"/>
  <c r="E14" i="4"/>
  <c r="E36" i="5" l="1"/>
  <c r="E35" i="5"/>
  <c r="E34" i="5"/>
  <c r="E33" i="5"/>
  <c r="E41" i="5"/>
  <c r="E40" i="5"/>
  <c r="E39" i="5"/>
  <c r="E38" i="5"/>
  <c r="E37" i="5"/>
  <c r="I43" i="5"/>
  <c r="E44" i="4"/>
  <c r="I4" i="4"/>
  <c r="I10" i="4" s="1"/>
  <c r="I20" i="4" s="1"/>
  <c r="E26" i="4"/>
  <c r="E10" i="4"/>
  <c r="E20" i="4" s="1"/>
  <c r="E43" i="5" l="1"/>
  <c r="I45" i="5"/>
  <c r="I46" i="5" s="1"/>
  <c r="I26" i="4"/>
  <c r="I28" i="4" s="1"/>
  <c r="I29" i="4" s="1"/>
  <c r="E28" i="4"/>
  <c r="E29" i="4" s="1"/>
  <c r="E45" i="5" l="1"/>
  <c r="E46" i="5" s="1"/>
  <c r="I47" i="5" s="1"/>
  <c r="I38" i="4"/>
  <c r="I34" i="4"/>
  <c r="I39" i="4"/>
  <c r="I37" i="4"/>
  <c r="I40" i="4"/>
  <c r="I41" i="4"/>
  <c r="I36" i="4"/>
  <c r="I35" i="4"/>
  <c r="I43" i="4" l="1"/>
  <c r="I45" i="4" s="1"/>
  <c r="I46" i="4" s="1"/>
  <c r="E43" i="4"/>
  <c r="E45" i="4" s="1"/>
  <c r="E46" i="4" l="1"/>
  <c r="I47" i="4" s="1"/>
</calcChain>
</file>

<file path=xl/sharedStrings.xml><?xml version="1.0" encoding="utf-8"?>
<sst xmlns="http://schemas.openxmlformats.org/spreadsheetml/2006/main" count="138" uniqueCount="73">
  <si>
    <t>Excel Income tax Calculator for FY 24-25</t>
  </si>
  <si>
    <t>Customized field calculator (Do change as you wish)</t>
  </si>
  <si>
    <r>
      <t xml:space="preserve">Fill only the </t>
    </r>
    <r>
      <rPr>
        <b/>
        <u/>
        <sz val="20"/>
        <color rgb="FFFF0000"/>
        <rFont val="Calibri"/>
        <family val="2"/>
        <scheme val="minor"/>
      </rPr>
      <t>Red-Highlighted</t>
    </r>
    <r>
      <rPr>
        <b/>
        <sz val="20"/>
        <color rgb="FFFF0000"/>
        <rFont val="Calibri"/>
        <family val="2"/>
        <scheme val="minor"/>
      </rPr>
      <t xml:space="preserve"> field                    </t>
    </r>
    <r>
      <rPr>
        <b/>
        <i/>
        <sz val="20"/>
        <color rgb="FFFF0000"/>
        <rFont val="Calibri"/>
        <family val="2"/>
        <scheme val="minor"/>
      </rPr>
      <t>(by only30sec.com)</t>
    </r>
  </si>
  <si>
    <t xml:space="preserve">B1    Salary / Pension
 </t>
  </si>
  <si>
    <t>(i) Gross Salary of Employee</t>
  </si>
  <si>
    <t xml:space="preserve">(ia + ib + ic) </t>
  </si>
  <si>
    <t>(a) Salary as per sec 17(1)</t>
  </si>
  <si>
    <t>(b) Value of perquisites as per sec 17(2)</t>
  </si>
  <si>
    <t>(c) Profits in lieu of salary as per sec 17(3)</t>
  </si>
  <si>
    <t>LESS :- Allowance to extent exempt u/s 10 like Travelling allowance, washing allowance, Child education allowance etc.</t>
  </si>
  <si>
    <t>CEA-I-IDA</t>
  </si>
  <si>
    <t>Less: Standard deduction u/s 16(iv)</t>
  </si>
  <si>
    <t>Income Under the Head Salaries</t>
  </si>
  <si>
    <t>B2</t>
  </si>
  <si>
    <t>Type of House Property</t>
  </si>
  <si>
    <t>Self Occupied / Let out</t>
  </si>
  <si>
    <t>Rent Recived Total in FY, if 'Let Out' (After deducting 30%)</t>
  </si>
  <si>
    <t>Less (Interest on Home Loan)</t>
  </si>
  <si>
    <t>Income chargeable under the head ‘House Property’</t>
  </si>
  <si>
    <t>B3</t>
  </si>
  <si>
    <t>Income from other sources</t>
  </si>
  <si>
    <t>Like FD, Bond etc.</t>
  </si>
  <si>
    <t>Interest from Savings bank</t>
  </si>
  <si>
    <t>U/s 80TTA (General) - Maximum 10,000</t>
  </si>
  <si>
    <t>Intra-day gain (Speculative trading)</t>
  </si>
  <si>
    <t>Income from Equity shares (Intra-day)</t>
  </si>
  <si>
    <t>Short Term Capital Gain (Tax Statement from your broker)</t>
  </si>
  <si>
    <t>Income from Equity shares or Equity Mutual Fund (ITR-2 needs to fill in 111A)</t>
  </si>
  <si>
    <t>Long Term Capital Gain (Tax Statement from your broker)</t>
  </si>
  <si>
    <t>Income from Equity shares or Equity Mutual Fund  (ITR-2 needs to fill in 112A)</t>
  </si>
  <si>
    <t>B4</t>
  </si>
  <si>
    <t>Gross Total Income (B1+B2+B3) (Except Short &amp; Long term capital gain amount)</t>
  </si>
  <si>
    <t>Part C - Deductions and Taxable Total Income</t>
  </si>
  <si>
    <t>Deductions</t>
  </si>
  <si>
    <t>Description / Remarks</t>
  </si>
  <si>
    <t>Invested / Expenditure</t>
  </si>
  <si>
    <t>Claimed</t>
  </si>
  <si>
    <t>Less: Deductions U/s 80C (PF, LIC, SSY, SCSS, NSC, KVP etc.)</t>
  </si>
  <si>
    <t>Maximum 150,000 can be claimed by combining both 80C + 80CCD(1)</t>
  </si>
  <si>
    <t>Less: NPS / Atal PY Contribution U/s 80CCD(1) - by Employee only</t>
  </si>
  <si>
    <t>Less: NPS Contribution U/s 80CCD(1B) - by Employee only</t>
  </si>
  <si>
    <t>Maximum 50,000 can be claimed in addition to 150,000 above.</t>
  </si>
  <si>
    <t>Less: NPS Contribution U/s 80CCD(2) - by Employer only</t>
  </si>
  <si>
    <t>Maximum 10 % of 'Basic+DA' can be claimed annualy</t>
  </si>
  <si>
    <t>Less: Deduction u/s 80D</t>
  </si>
  <si>
    <t>Health premium - 25,000 for Individual and 50,000 including parents above 60</t>
  </si>
  <si>
    <t>Total Deductions (C1)</t>
  </si>
  <si>
    <t>Total Income (B4 - C1) (Except Short &amp; Long term capital gain amount)</t>
  </si>
  <si>
    <t>Part D - Computation of Tax Payable</t>
  </si>
  <si>
    <t>D1</t>
  </si>
  <si>
    <t>INCOME TAX SALBS</t>
  </si>
  <si>
    <t>Old Tax Rate (%)</t>
  </si>
  <si>
    <t>Old Tax Amount (Rs.)</t>
  </si>
  <si>
    <t>New Tax Amount (Rs.)</t>
  </si>
  <si>
    <t>New Tax Rate (%)</t>
  </si>
  <si>
    <t>Up to 2.5 Lakh</t>
  </si>
  <si>
    <t>2.5 Lakh - 5 Lakh</t>
  </si>
  <si>
    <t>5 Lakh - 10 Lakh</t>
  </si>
  <si>
    <t>10 Lakh  above</t>
  </si>
  <si>
    <t>Net Tax Payable</t>
  </si>
  <si>
    <t>On Total Income (other than Short term capital gain)</t>
  </si>
  <si>
    <t>Short term + Long Termcapital gain tax</t>
  </si>
  <si>
    <t>Education Cess 4%</t>
  </si>
  <si>
    <t>Total Tax Payable</t>
  </si>
  <si>
    <t>FINAL TAX Difference</t>
  </si>
  <si>
    <t>Section 80 CCD(1) allows tax deduction benefits to salaried and self-employed individuals for the investments made into the NPS or Atal Pension Yojana account. Salaried employees can claim tax deductions under Section 80 CCD(2) for the contributions made by the employer to the employee's NPS/ Atal Pension Yojana funds.</t>
  </si>
  <si>
    <r>
      <t>The maximum limit of deductions from under 80CCD(1) is capped at Rs 1.5 lakhs for a given financial year. Section 80CCD(1B) provides an additional deduction of up to Rs 50,000 for contributions made to NPS over and above the deductions available under Section 80CCD(1), provided if they opt for the old tax regime.</t>
    </r>
    <r>
      <rPr>
        <sz val="9"/>
        <color theme="1"/>
        <rFont val="Arial"/>
        <family val="2"/>
      </rPr>
      <t>५ </t>
    </r>
  </si>
  <si>
    <t>Up to 3 Lakh</t>
  </si>
  <si>
    <t>3 Lakh - 7 Lakh</t>
  </si>
  <si>
    <t>7 Lakh - 10 Lakh</t>
  </si>
  <si>
    <t>10 Lakh - 12 Lakh</t>
  </si>
  <si>
    <t>12 Lakh - 15 Lakh</t>
  </si>
  <si>
    <t>more than 15 Lakh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</si>
</sst>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b/>
      <sz val="12"/>
      <color theme="1"/>
      <name val="Calibri"/>
      <family val="2"/>
      <scheme val="minor"/>
    </font>
    <font>
      <sz val="12"/>
      <color theme="1"/>
      <name val="Calibri"/>
      <family val="2"/>
      <scheme val="minor"/>
    </font>
    <font>
      <b/>
      <sz val="12"/>
      <color rgb="FFFF0000"/>
      <name val="Calibri"/>
      <family val="2"/>
      <scheme val="minor"/>
    </font>
    <font>
      <b/>
      <sz val="26"/>
      <color theme="1"/>
      <name val="Calibri"/>
      <family val="2"/>
      <scheme val="minor"/>
    </font>
    <font>
      <b/>
      <sz val="20"/>
      <color rgb="FFFF0000"/>
      <name val="Calibri"/>
      <family val="2"/>
      <scheme val="minor"/>
    </font>
    <font>
      <b/>
      <u/>
      <sz val="20"/>
      <color rgb="FFFF0000"/>
      <name val="Calibri"/>
      <family val="2"/>
      <scheme val="minor"/>
    </font>
    <font>
      <b/>
      <sz val="12"/>
      <name val="Calibri"/>
      <family val="2"/>
      <scheme val="minor"/>
    </font>
    <font>
      <b/>
      <sz val="16"/>
      <color theme="1"/>
      <name val="Calibri"/>
      <family val="2"/>
      <scheme val="minor"/>
    </font>
    <font>
      <b/>
      <sz val="18"/>
      <color theme="1"/>
      <name val="Calibri"/>
      <family val="2"/>
      <scheme val="minor"/>
    </font>
    <font>
      <b/>
      <sz val="20"/>
      <name val="Calibri"/>
      <family val="2"/>
      <scheme val="minor"/>
    </font>
    <font>
      <sz val="20"/>
      <name val="Calibri"/>
      <family val="2"/>
      <scheme val="minor"/>
    </font>
    <font>
      <b/>
      <sz val="24"/>
      <color theme="1"/>
      <name val="Calibri"/>
      <family val="2"/>
      <scheme val="minor"/>
    </font>
    <font>
      <b/>
      <i/>
      <sz val="12"/>
      <color theme="1"/>
      <name val="Calibri"/>
      <family val="2"/>
      <scheme val="minor"/>
    </font>
    <font>
      <b/>
      <i/>
      <sz val="20"/>
      <color rgb="FFFF0000"/>
      <name val="Calibri"/>
      <family val="2"/>
      <scheme val="minor"/>
    </font>
    <font>
      <sz val="12"/>
      <color rgb="FF1F1F1F"/>
      <name val="Arial"/>
      <family val="2"/>
    </font>
    <font>
      <sz val="9"/>
      <color theme="1"/>
      <name val="Arial"/>
      <family val="2"/>
    </font>
    <font>
      <sz val="12"/>
      <color rgb="FF474747"/>
      <name val="Arial"/>
      <family val="2"/>
    </font>
    <font>
      <sz val="14"/>
      <color theme="1"/>
      <name val="Calibri"/>
      <family val="2"/>
      <scheme val="minor"/>
    </font>
    <font>
      <sz val="18"/>
      <color theme="1"/>
      <name val="Calibri"/>
      <family val="2"/>
      <scheme val="minor"/>
    </font>
  </fonts>
  <fills count="10">
    <fill>
      <patternFill patternType="none"/>
    </fill>
    <fill>
      <patternFill patternType="gray125"/>
    </fill>
    <fill>
      <patternFill patternType="solid">
        <fgColor rgb="FFFF0000"/>
        <bgColor indexed="64"/>
      </patternFill>
    </fill>
    <fill>
      <patternFill patternType="solid">
        <fgColor rgb="FF00B0F0"/>
        <bgColor indexed="64"/>
      </patternFill>
    </fill>
    <fill>
      <patternFill patternType="solid">
        <fgColor rgb="FFFFFF00"/>
        <bgColor indexed="64"/>
      </patternFill>
    </fill>
    <fill>
      <patternFill patternType="solid">
        <fgColor theme="2" tint="-0.249977111117893"/>
        <bgColor indexed="64"/>
      </patternFill>
    </fill>
    <fill>
      <patternFill patternType="solid">
        <fgColor theme="6"/>
        <bgColor indexed="64"/>
      </patternFill>
    </fill>
    <fill>
      <patternFill patternType="solid">
        <fgColor rgb="FFFFC000"/>
        <bgColor indexed="64"/>
      </patternFill>
    </fill>
    <fill>
      <patternFill patternType="solid">
        <fgColor theme="5" tint="0.59999389629810485"/>
        <bgColor indexed="64"/>
      </patternFill>
    </fill>
    <fill>
      <patternFill patternType="solid">
        <fgColor theme="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86">
    <xf numFmtId="0" fontId="0" fillId="0" borderId="0" xfId="0"/>
    <xf numFmtId="0" fontId="0" fillId="0" borderId="0" xfId="0" applyAlignment="1">
      <alignment horizontal="center"/>
    </xf>
    <xf numFmtId="0" fontId="0" fillId="0" borderId="0" xfId="0" applyAlignment="1">
      <alignment horizontal="left"/>
    </xf>
    <xf numFmtId="0" fontId="1" fillId="0" borderId="1" xfId="0" applyFont="1" applyBorder="1" applyAlignment="1">
      <alignment wrapText="1"/>
    </xf>
    <xf numFmtId="0" fontId="2" fillId="0" borderId="1" xfId="0" applyFont="1" applyBorder="1" applyAlignment="1">
      <alignment wrapText="1"/>
    </xf>
    <xf numFmtId="0" fontId="2" fillId="3" borderId="1" xfId="0" applyFont="1" applyFill="1" applyBorder="1" applyAlignment="1">
      <alignment wrapText="1"/>
    </xf>
    <xf numFmtId="0" fontId="2" fillId="0" borderId="1" xfId="0" applyFont="1" applyBorder="1" applyAlignment="1">
      <alignment horizontal="center" wrapText="1"/>
    </xf>
    <xf numFmtId="0" fontId="1" fillId="0" borderId="1" xfId="0" applyFont="1" applyBorder="1" applyAlignment="1">
      <alignment horizontal="center" wrapText="1"/>
    </xf>
    <xf numFmtId="0" fontId="2" fillId="3" borderId="1" xfId="0" applyFont="1" applyFill="1" applyBorder="1" applyAlignment="1">
      <alignment horizontal="center" wrapText="1"/>
    </xf>
    <xf numFmtId="3" fontId="1" fillId="0" borderId="1" xfId="0" applyNumberFormat="1" applyFont="1" applyBorder="1" applyAlignment="1">
      <alignment horizontal="center" wrapText="1"/>
    </xf>
    <xf numFmtId="0" fontId="1" fillId="0" borderId="1" xfId="0" applyFont="1" applyBorder="1"/>
    <xf numFmtId="0" fontId="1" fillId="0" borderId="1" xfId="0" applyFont="1" applyBorder="1" applyAlignment="1">
      <alignment horizontal="center"/>
    </xf>
    <xf numFmtId="0" fontId="1" fillId="0" borderId="0" xfId="0" applyFont="1"/>
    <xf numFmtId="3" fontId="1" fillId="0" borderId="1" xfId="0" applyNumberFormat="1" applyFont="1" applyBorder="1" applyAlignment="1">
      <alignment horizontal="center"/>
    </xf>
    <xf numFmtId="3" fontId="3" fillId="0" borderId="1" xfId="0" applyNumberFormat="1" applyFont="1" applyBorder="1" applyAlignment="1">
      <alignment horizontal="center" wrapText="1"/>
    </xf>
    <xf numFmtId="0" fontId="3" fillId="0" borderId="1" xfId="0" applyFont="1" applyBorder="1" applyAlignment="1">
      <alignment horizontal="center" wrapText="1"/>
    </xf>
    <xf numFmtId="3" fontId="7" fillId="0" borderId="1" xfId="0" applyNumberFormat="1" applyFont="1" applyBorder="1" applyAlignment="1">
      <alignment horizontal="center" wrapText="1"/>
    </xf>
    <xf numFmtId="0" fontId="1" fillId="0" borderId="1" xfId="0" applyFont="1" applyBorder="1" applyAlignment="1">
      <alignment vertical="center" wrapText="1"/>
    </xf>
    <xf numFmtId="0" fontId="8" fillId="0" borderId="1" xfId="0" applyFont="1" applyBorder="1" applyAlignment="1">
      <alignment horizontal="center" vertical="center" wrapText="1"/>
    </xf>
    <xf numFmtId="3" fontId="8" fillId="0" borderId="1" xfId="0" applyNumberFormat="1" applyFont="1" applyBorder="1" applyAlignment="1">
      <alignment horizontal="center" vertical="center" wrapText="1"/>
    </xf>
    <xf numFmtId="0" fontId="8" fillId="0" borderId="1" xfId="0" applyFont="1" applyBorder="1" applyAlignment="1">
      <alignment vertical="center"/>
    </xf>
    <xf numFmtId="0" fontId="8" fillId="0" borderId="1" xfId="0" applyFont="1" applyBorder="1" applyAlignment="1">
      <alignment horizontal="center" vertical="center"/>
    </xf>
    <xf numFmtId="3" fontId="8" fillId="0" borderId="1" xfId="0" applyNumberFormat="1" applyFont="1" applyBorder="1" applyAlignment="1">
      <alignment horizontal="center" vertical="center"/>
    </xf>
    <xf numFmtId="3" fontId="2" fillId="0" borderId="1" xfId="0" applyNumberFormat="1" applyFont="1" applyBorder="1" applyAlignment="1">
      <alignment horizontal="center" wrapText="1"/>
    </xf>
    <xf numFmtId="0" fontId="8" fillId="2" borderId="1" xfId="0" applyFont="1" applyFill="1" applyBorder="1" applyAlignment="1">
      <alignment horizontal="center" vertical="center" wrapText="1"/>
    </xf>
    <xf numFmtId="3" fontId="8" fillId="2" borderId="1" xfId="0" applyNumberFormat="1" applyFont="1" applyFill="1" applyBorder="1" applyAlignment="1">
      <alignment horizontal="center" vertical="center" wrapText="1"/>
    </xf>
    <xf numFmtId="0" fontId="13" fillId="0" borderId="1" xfId="0" applyFont="1" applyBorder="1" applyAlignment="1">
      <alignment horizontal="center" wrapText="1"/>
    </xf>
    <xf numFmtId="0" fontId="1"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0" fillId="2" borderId="1" xfId="0" applyFont="1" applyFill="1" applyBorder="1" applyAlignment="1">
      <alignment horizontal="center" vertical="center"/>
    </xf>
    <xf numFmtId="0" fontId="11" fillId="2" borderId="1" xfId="0" applyFont="1" applyFill="1" applyBorder="1" applyAlignment="1">
      <alignment horizontal="center" vertical="center" wrapText="1"/>
    </xf>
    <xf numFmtId="3" fontId="11" fillId="2" borderId="1" xfId="0" applyNumberFormat="1" applyFont="1" applyFill="1" applyBorder="1" applyAlignment="1">
      <alignment horizontal="center" vertical="center" wrapText="1"/>
    </xf>
    <xf numFmtId="0" fontId="0" fillId="0" borderId="0" xfId="0" applyAlignment="1">
      <alignment horizontal="center" vertical="center"/>
    </xf>
    <xf numFmtId="0" fontId="8" fillId="2" borderId="1" xfId="0" applyFont="1" applyFill="1" applyBorder="1" applyAlignment="1">
      <alignment horizontal="center" vertical="center"/>
    </xf>
    <xf numFmtId="0" fontId="1" fillId="4" borderId="1" xfId="0" applyFont="1" applyFill="1" applyBorder="1" applyAlignment="1">
      <alignment horizontal="center" wrapText="1"/>
    </xf>
    <xf numFmtId="3" fontId="1" fillId="4" borderId="1" xfId="0" applyNumberFormat="1" applyFont="1" applyFill="1" applyBorder="1" applyAlignment="1">
      <alignment horizontal="center" wrapText="1"/>
    </xf>
    <xf numFmtId="0" fontId="1" fillId="5" borderId="1" xfId="0" applyFont="1" applyFill="1" applyBorder="1" applyAlignment="1">
      <alignment horizontal="center" wrapText="1"/>
    </xf>
    <xf numFmtId="3" fontId="1" fillId="5" borderId="1" xfId="0" applyNumberFormat="1" applyFont="1" applyFill="1" applyBorder="1" applyAlignment="1">
      <alignment horizontal="center" wrapText="1"/>
    </xf>
    <xf numFmtId="0" fontId="1" fillId="6" borderId="1" xfId="0" applyFont="1" applyFill="1" applyBorder="1" applyAlignment="1">
      <alignment horizontal="center" wrapText="1"/>
    </xf>
    <xf numFmtId="3" fontId="1" fillId="6" borderId="1" xfId="0" applyNumberFormat="1" applyFont="1" applyFill="1" applyBorder="1" applyAlignment="1">
      <alignment horizontal="center" wrapText="1"/>
    </xf>
    <xf numFmtId="0" fontId="1" fillId="7" borderId="1" xfId="0" applyFont="1" applyFill="1" applyBorder="1" applyAlignment="1">
      <alignment horizontal="center" wrapText="1"/>
    </xf>
    <xf numFmtId="3" fontId="1" fillId="7" borderId="1" xfId="0" applyNumberFormat="1" applyFont="1" applyFill="1" applyBorder="1" applyAlignment="1">
      <alignment horizontal="center" wrapText="1"/>
    </xf>
    <xf numFmtId="3" fontId="1" fillId="8" borderId="1" xfId="0" applyNumberFormat="1" applyFont="1" applyFill="1" applyBorder="1" applyAlignment="1">
      <alignment horizontal="center" wrapText="1"/>
    </xf>
    <xf numFmtId="0" fontId="1" fillId="8" borderId="1" xfId="0" applyFont="1" applyFill="1" applyBorder="1" applyAlignment="1">
      <alignment horizontal="center" wrapText="1"/>
    </xf>
    <xf numFmtId="3" fontId="1" fillId="9" borderId="1" xfId="0" applyNumberFormat="1" applyFont="1" applyFill="1" applyBorder="1" applyAlignment="1">
      <alignment horizontal="center" wrapText="1"/>
    </xf>
    <xf numFmtId="0" fontId="1" fillId="9" borderId="1" xfId="0" applyFont="1" applyFill="1" applyBorder="1" applyAlignment="1">
      <alignment horizontal="center" wrapText="1"/>
    </xf>
    <xf numFmtId="0" fontId="15" fillId="0" borderId="0" xfId="0" applyFont="1" applyAlignment="1">
      <alignment wrapText="1"/>
    </xf>
    <xf numFmtId="0" fontId="17" fillId="0" borderId="0" xfId="0" applyFont="1" applyAlignment="1">
      <alignment wrapText="1"/>
    </xf>
    <xf numFmtId="0" fontId="18" fillId="0" borderId="0" xfId="0" applyFont="1" applyAlignment="1">
      <alignment horizontal="center" vertical="center"/>
    </xf>
    <xf numFmtId="0" fontId="19" fillId="0" borderId="0" xfId="0" applyFont="1" applyAlignment="1">
      <alignment horizontal="center" vertical="center"/>
    </xf>
    <xf numFmtId="0" fontId="8"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wrapText="1"/>
    </xf>
    <xf numFmtId="0" fontId="1" fillId="6" borderId="2"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7" borderId="2" xfId="0" applyFont="1" applyFill="1" applyBorder="1" applyAlignment="1">
      <alignment horizontal="center" vertical="center" wrapText="1"/>
    </xf>
    <xf numFmtId="0" fontId="1" fillId="7" borderId="4" xfId="0" applyFont="1" applyFill="1" applyBorder="1" applyAlignment="1">
      <alignment horizontal="center" vertical="center" wrapText="1"/>
    </xf>
    <xf numFmtId="0" fontId="1" fillId="7" borderId="3" xfId="0" applyFont="1" applyFill="1" applyBorder="1" applyAlignment="1">
      <alignment horizontal="center" vertical="center" wrapText="1"/>
    </xf>
    <xf numFmtId="3" fontId="1" fillId="4" borderId="2" xfId="0" applyNumberFormat="1" applyFont="1" applyFill="1" applyBorder="1" applyAlignment="1">
      <alignment horizontal="center" vertical="center" wrapText="1"/>
    </xf>
    <xf numFmtId="3" fontId="1" fillId="4" borderId="3" xfId="0" applyNumberFormat="1" applyFont="1" applyFill="1" applyBorder="1" applyAlignment="1">
      <alignment horizontal="center" vertical="center" wrapText="1"/>
    </xf>
    <xf numFmtId="3" fontId="1" fillId="6" borderId="2" xfId="0" applyNumberFormat="1" applyFont="1" applyFill="1" applyBorder="1" applyAlignment="1">
      <alignment horizontal="center" vertical="center" wrapText="1"/>
    </xf>
    <xf numFmtId="3" fontId="1" fillId="6" borderId="4" xfId="0" applyNumberFormat="1" applyFont="1" applyFill="1" applyBorder="1" applyAlignment="1">
      <alignment horizontal="center" vertical="center" wrapText="1"/>
    </xf>
    <xf numFmtId="3" fontId="1" fillId="6" borderId="3" xfId="0" applyNumberFormat="1" applyFont="1" applyFill="1" applyBorder="1" applyAlignment="1">
      <alignment horizontal="center" vertical="center" wrapText="1"/>
    </xf>
    <xf numFmtId="3" fontId="1" fillId="7" borderId="2" xfId="0" applyNumberFormat="1" applyFont="1" applyFill="1" applyBorder="1" applyAlignment="1">
      <alignment horizontal="center" vertical="center" wrapText="1"/>
    </xf>
    <xf numFmtId="3" fontId="1" fillId="7" borderId="4" xfId="0" applyNumberFormat="1" applyFont="1" applyFill="1" applyBorder="1" applyAlignment="1">
      <alignment horizontal="center" vertical="center" wrapText="1"/>
    </xf>
    <xf numFmtId="3" fontId="1" fillId="7" borderId="3" xfId="0" applyNumberFormat="1" applyFont="1" applyFill="1" applyBorder="1" applyAlignment="1">
      <alignment horizontal="center" vertical="center" wrapText="1"/>
    </xf>
    <xf numFmtId="0" fontId="12" fillId="0" borderId="1" xfId="0" applyFont="1" applyBorder="1" applyAlignment="1">
      <alignment horizontal="center" wrapText="1"/>
    </xf>
    <xf numFmtId="0" fontId="4" fillId="0" borderId="1" xfId="0" applyFont="1" applyBorder="1" applyAlignment="1">
      <alignment horizontal="center" vertical="center"/>
    </xf>
    <xf numFmtId="0" fontId="5" fillId="0" borderId="1" xfId="0" applyFont="1" applyBorder="1" applyAlignment="1">
      <alignment horizontal="center" wrapText="1"/>
    </xf>
    <xf numFmtId="0" fontId="8"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3" fontId="1"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horizont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3" fontId="1" fillId="0" borderId="2" xfId="0" applyNumberFormat="1" applyFont="1" applyBorder="1" applyAlignment="1">
      <alignment horizontal="center" vertical="center" wrapText="1"/>
    </xf>
    <xf numFmtId="3" fontId="1" fillId="0" borderId="3" xfId="0" applyNumberFormat="1" applyFont="1" applyBorder="1" applyAlignment="1">
      <alignment horizontal="center" vertical="center" wrapText="1"/>
    </xf>
    <xf numFmtId="3" fontId="1" fillId="4" borderId="4" xfId="0" applyNumberFormat="1" applyFont="1" applyFill="1" applyBorder="1" applyAlignment="1">
      <alignment horizontal="center" vertical="center" wrapText="1"/>
    </xf>
    <xf numFmtId="0" fontId="1" fillId="4" borderId="4"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390525</xdr:colOff>
      <xdr:row>30</xdr:row>
      <xdr:rowOff>361950</xdr:rowOff>
    </xdr:from>
    <xdr:to>
      <xdr:col>21</xdr:col>
      <xdr:colOff>57149</xdr:colOff>
      <xdr:row>42</xdr:row>
      <xdr:rowOff>9895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8448675" y="10201275"/>
          <a:ext cx="6819899" cy="264832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topLeftCell="B28" workbookViewId="0">
      <selection activeCell="O41" sqref="O41"/>
    </sheetView>
  </sheetViews>
  <sheetFormatPr defaultRowHeight="15.75"/>
  <cols>
    <col min="1" max="1" width="8.42578125" style="12" customWidth="1"/>
    <col min="2" max="2" width="33.140625" customWidth="1"/>
    <col min="3" max="3" width="42" customWidth="1"/>
    <col min="4" max="4" width="12.85546875" style="1" bestFit="1" customWidth="1"/>
    <col min="5" max="5" width="15.42578125" bestFit="1" customWidth="1"/>
    <col min="6" max="6" width="10.85546875" style="2" hidden="1" customWidth="1"/>
    <col min="7" max="7" width="15.85546875" hidden="1" customWidth="1"/>
    <col min="8" max="8" width="9" style="1" hidden="1" customWidth="1"/>
    <col min="9" max="9" width="15.42578125" hidden="1" customWidth="1"/>
    <col min="10" max="10" width="9" style="1" hidden="1" customWidth="1"/>
  </cols>
  <sheetData>
    <row r="1" spans="1:10" ht="31.5" customHeight="1">
      <c r="A1" s="68" t="s">
        <v>0</v>
      </c>
      <c r="B1" s="68"/>
      <c r="C1" s="68"/>
      <c r="D1" s="68"/>
      <c r="E1" s="68"/>
      <c r="F1" s="68"/>
      <c r="G1" s="68"/>
      <c r="H1" s="68"/>
      <c r="I1" s="68"/>
      <c r="J1" s="68"/>
    </row>
    <row r="2" spans="1:10" ht="33.75">
      <c r="A2" s="69" t="s">
        <v>1</v>
      </c>
      <c r="B2" s="69"/>
      <c r="C2" s="69"/>
      <c r="D2" s="69"/>
      <c r="E2" s="69"/>
      <c r="F2" s="69"/>
      <c r="G2" s="69"/>
      <c r="H2" s="69"/>
      <c r="I2" s="69"/>
      <c r="J2" s="69"/>
    </row>
    <row r="3" spans="1:10" ht="26.25" customHeight="1">
      <c r="A3" s="10"/>
      <c r="B3" s="70" t="s">
        <v>2</v>
      </c>
      <c r="C3" s="70"/>
      <c r="D3" s="70"/>
      <c r="E3" s="70"/>
      <c r="F3" s="70"/>
      <c r="G3" s="70"/>
      <c r="H3" s="70"/>
      <c r="I3" s="70"/>
      <c r="J3" s="70"/>
    </row>
    <row r="4" spans="1:10">
      <c r="A4" s="52" t="s">
        <v>3</v>
      </c>
      <c r="B4" s="3" t="s">
        <v>4</v>
      </c>
      <c r="C4" s="3" t="s">
        <v>5</v>
      </c>
      <c r="D4" s="7"/>
      <c r="E4" s="13">
        <f>E5+E6+E7</f>
        <v>1900000</v>
      </c>
      <c r="F4" s="11"/>
      <c r="G4" s="9"/>
      <c r="H4" s="11"/>
      <c r="I4" s="9">
        <f>E4</f>
        <v>1900000</v>
      </c>
      <c r="J4" s="11"/>
    </row>
    <row r="5" spans="1:10">
      <c r="A5" s="52"/>
      <c r="B5" s="3"/>
      <c r="C5" s="3" t="s">
        <v>6</v>
      </c>
      <c r="D5" s="7"/>
      <c r="E5" s="14">
        <v>1800000</v>
      </c>
      <c r="F5" s="9"/>
      <c r="G5" s="9"/>
      <c r="H5" s="7"/>
      <c r="I5" s="9"/>
      <c r="J5" s="7"/>
    </row>
    <row r="6" spans="1:10">
      <c r="A6" s="52"/>
      <c r="B6" s="3"/>
      <c r="C6" s="3" t="s">
        <v>7</v>
      </c>
      <c r="D6" s="7"/>
      <c r="E6" s="15">
        <v>100000</v>
      </c>
      <c r="F6" s="9"/>
      <c r="G6" s="9"/>
      <c r="H6" s="7"/>
      <c r="I6" s="9"/>
      <c r="J6" s="7"/>
    </row>
    <row r="7" spans="1:10" ht="31.5">
      <c r="A7" s="52"/>
      <c r="B7" s="3"/>
      <c r="C7" s="3" t="s">
        <v>8</v>
      </c>
      <c r="D7" s="7"/>
      <c r="E7" s="15">
        <v>0</v>
      </c>
      <c r="F7" s="9"/>
      <c r="G7" s="9"/>
      <c r="H7" s="7"/>
      <c r="I7" s="9">
        <f>E7</f>
        <v>0</v>
      </c>
      <c r="J7" s="7"/>
    </row>
    <row r="8" spans="1:10">
      <c r="A8" s="52"/>
      <c r="B8" s="53" t="s">
        <v>9</v>
      </c>
      <c r="C8" s="53"/>
      <c r="D8" s="7" t="s">
        <v>10</v>
      </c>
      <c r="E8" s="15">
        <v>0</v>
      </c>
      <c r="F8" s="9"/>
      <c r="G8" s="9"/>
      <c r="H8" s="7"/>
      <c r="I8" s="9">
        <v>0</v>
      </c>
      <c r="J8" s="7"/>
    </row>
    <row r="9" spans="1:10">
      <c r="A9" s="52"/>
      <c r="B9" s="53" t="s">
        <v>11</v>
      </c>
      <c r="C9" s="53"/>
      <c r="D9" s="7"/>
      <c r="E9" s="9">
        <v>50000</v>
      </c>
      <c r="F9" s="7"/>
      <c r="G9" s="9"/>
      <c r="H9" s="7"/>
      <c r="I9" s="9">
        <v>75000</v>
      </c>
      <c r="J9" s="7"/>
    </row>
    <row r="10" spans="1:10">
      <c r="A10" s="52"/>
      <c r="B10" s="3" t="s">
        <v>12</v>
      </c>
      <c r="C10" s="3"/>
      <c r="D10" s="7"/>
      <c r="E10" s="9">
        <f>E4-E8-E9</f>
        <v>1850000</v>
      </c>
      <c r="F10" s="9"/>
      <c r="G10" s="9"/>
      <c r="H10" s="7"/>
      <c r="I10" s="9">
        <f>I4-I8-I9</f>
        <v>1825000</v>
      </c>
      <c r="J10" s="7"/>
    </row>
    <row r="11" spans="1:10">
      <c r="A11" s="52" t="s">
        <v>13</v>
      </c>
      <c r="B11" s="3" t="s">
        <v>14</v>
      </c>
      <c r="C11" s="3" t="s">
        <v>15</v>
      </c>
      <c r="D11" s="7"/>
      <c r="E11" s="9"/>
      <c r="F11" s="9"/>
      <c r="G11" s="9"/>
      <c r="H11" s="7"/>
      <c r="I11" s="9"/>
      <c r="J11" s="7"/>
    </row>
    <row r="12" spans="1:10" ht="31.5">
      <c r="A12" s="52"/>
      <c r="B12" s="3" t="s">
        <v>16</v>
      </c>
      <c r="C12" s="3"/>
      <c r="D12" s="7"/>
      <c r="E12" s="14">
        <v>0</v>
      </c>
      <c r="F12" s="9"/>
      <c r="G12" s="9"/>
      <c r="H12" s="7"/>
      <c r="I12" s="9"/>
      <c r="J12" s="7"/>
    </row>
    <row r="13" spans="1:10">
      <c r="A13" s="52"/>
      <c r="B13" s="3" t="s">
        <v>17</v>
      </c>
      <c r="C13" s="3"/>
      <c r="D13" s="7"/>
      <c r="E13" s="14">
        <v>200000</v>
      </c>
      <c r="F13" s="9"/>
      <c r="G13" s="9"/>
      <c r="H13" s="7"/>
      <c r="I13" s="9"/>
      <c r="J13" s="7"/>
    </row>
    <row r="14" spans="1:10">
      <c r="A14" s="52"/>
      <c r="B14" s="53" t="s">
        <v>18</v>
      </c>
      <c r="C14" s="53"/>
      <c r="D14" s="7"/>
      <c r="E14" s="9">
        <f>E12-E13</f>
        <v>-200000</v>
      </c>
      <c r="F14" s="9"/>
      <c r="G14" s="9"/>
      <c r="H14" s="7"/>
      <c r="I14" s="9">
        <v>0</v>
      </c>
      <c r="J14" s="7"/>
    </row>
    <row r="15" spans="1:10">
      <c r="A15" s="27" t="s">
        <v>19</v>
      </c>
      <c r="B15" s="3" t="s">
        <v>20</v>
      </c>
      <c r="C15" s="3" t="s">
        <v>21</v>
      </c>
      <c r="D15" s="15">
        <v>20000</v>
      </c>
      <c r="E15" s="16">
        <f>D15</f>
        <v>20000</v>
      </c>
      <c r="F15" s="9"/>
      <c r="G15" s="9"/>
      <c r="H15" s="7"/>
      <c r="I15" s="9">
        <f>D15</f>
        <v>20000</v>
      </c>
      <c r="J15" s="7"/>
    </row>
    <row r="16" spans="1:10">
      <c r="A16" s="10"/>
      <c r="B16" s="17" t="s">
        <v>22</v>
      </c>
      <c r="C16" s="3" t="s">
        <v>23</v>
      </c>
      <c r="D16" s="15">
        <v>25000</v>
      </c>
      <c r="E16" s="9">
        <f>IF((D16-10000)&lt;0,0,D16-10000)</f>
        <v>15000</v>
      </c>
      <c r="F16" s="9"/>
      <c r="G16" s="9"/>
      <c r="H16" s="7"/>
      <c r="I16" s="9">
        <f>D16</f>
        <v>25000</v>
      </c>
      <c r="J16" s="7"/>
    </row>
    <row r="17" spans="1:10" ht="31.5">
      <c r="A17" s="27"/>
      <c r="B17" s="3" t="s">
        <v>24</v>
      </c>
      <c r="C17" s="3" t="s">
        <v>25</v>
      </c>
      <c r="D17" s="15">
        <v>15000</v>
      </c>
      <c r="E17" s="16">
        <f>D17</f>
        <v>15000</v>
      </c>
      <c r="F17" s="9"/>
      <c r="G17" s="16"/>
      <c r="H17" s="7"/>
      <c r="I17" s="16">
        <f>D17</f>
        <v>15000</v>
      </c>
      <c r="J17" s="7"/>
    </row>
    <row r="18" spans="1:10" ht="31.5">
      <c r="A18" s="27"/>
      <c r="B18" s="17" t="s">
        <v>26</v>
      </c>
      <c r="C18" s="3" t="s">
        <v>27</v>
      </c>
      <c r="D18" s="15">
        <v>120000</v>
      </c>
      <c r="E18" s="16">
        <f>D18</f>
        <v>120000</v>
      </c>
      <c r="F18" s="9"/>
      <c r="G18" s="16"/>
      <c r="H18" s="7"/>
      <c r="I18" s="16">
        <f>D18</f>
        <v>120000</v>
      </c>
      <c r="J18" s="7"/>
    </row>
    <row r="19" spans="1:10" ht="31.5">
      <c r="A19" s="27"/>
      <c r="B19" s="17" t="s">
        <v>28</v>
      </c>
      <c r="C19" s="3" t="s">
        <v>29</v>
      </c>
      <c r="D19" s="15">
        <v>150000</v>
      </c>
      <c r="E19" s="16">
        <f>IF((D19-100000)&lt;0,0,D19-100000)</f>
        <v>50000</v>
      </c>
      <c r="F19" s="9"/>
      <c r="G19" s="9"/>
      <c r="H19" s="7"/>
      <c r="I19" s="16">
        <f>IF((D19-125000)&lt;0,0,D19-125000)</f>
        <v>25000</v>
      </c>
      <c r="J19" s="7"/>
    </row>
    <row r="20" spans="1:10" ht="43.5" customHeight="1">
      <c r="A20" s="18" t="s">
        <v>30</v>
      </c>
      <c r="B20" s="71" t="s">
        <v>31</v>
      </c>
      <c r="C20" s="71"/>
      <c r="D20" s="18"/>
      <c r="E20" s="19">
        <f>E10+E14+E15+E16+E17</f>
        <v>1700000</v>
      </c>
      <c r="F20" s="19"/>
      <c r="G20" s="19"/>
      <c r="H20" s="18"/>
      <c r="I20" s="19">
        <f>I10+I14+I15+I16+I17</f>
        <v>1885000</v>
      </c>
      <c r="J20" s="18"/>
    </row>
    <row r="21" spans="1:10" ht="23.25" customHeight="1">
      <c r="A21" s="75" t="s">
        <v>32</v>
      </c>
      <c r="B21" s="75"/>
      <c r="C21" s="75"/>
      <c r="D21" s="75"/>
      <c r="E21" s="75"/>
      <c r="F21" s="75"/>
      <c r="G21" s="75"/>
      <c r="H21" s="75"/>
      <c r="I21" s="75"/>
      <c r="J21" s="75"/>
    </row>
    <row r="22" spans="1:10" ht="31.5">
      <c r="A22" s="27"/>
      <c r="B22" s="27" t="s">
        <v>33</v>
      </c>
      <c r="C22" s="27" t="s">
        <v>34</v>
      </c>
      <c r="D22" s="27" t="s">
        <v>35</v>
      </c>
      <c r="E22" s="27" t="s">
        <v>36</v>
      </c>
      <c r="F22" s="27"/>
      <c r="G22" s="27"/>
      <c r="H22" s="27"/>
      <c r="I22" s="27"/>
      <c r="J22" s="27"/>
    </row>
    <row r="23" spans="1:10" ht="31.5">
      <c r="A23" s="10"/>
      <c r="B23" s="3" t="s">
        <v>37</v>
      </c>
      <c r="C23" s="73" t="s">
        <v>38</v>
      </c>
      <c r="D23" s="14">
        <v>130000</v>
      </c>
      <c r="E23" s="74">
        <f>IF((D23+D24-150000)&lt;0,D23+D24,150000)</f>
        <v>150000</v>
      </c>
      <c r="F23" s="9"/>
      <c r="G23" s="9"/>
      <c r="H23" s="7"/>
      <c r="I23" s="9"/>
      <c r="J23" s="7"/>
    </row>
    <row r="24" spans="1:10" ht="47.25">
      <c r="A24" s="10"/>
      <c r="B24" s="3" t="s">
        <v>39</v>
      </c>
      <c r="C24" s="73"/>
      <c r="D24" s="14">
        <v>45000</v>
      </c>
      <c r="E24" s="74"/>
      <c r="F24" s="9"/>
      <c r="G24" s="9"/>
      <c r="H24" s="7"/>
      <c r="I24" s="9"/>
      <c r="J24" s="7"/>
    </row>
    <row r="25" spans="1:10" ht="31.5">
      <c r="A25" s="10"/>
      <c r="B25" s="3" t="s">
        <v>40</v>
      </c>
      <c r="C25" s="3" t="s">
        <v>41</v>
      </c>
      <c r="D25" s="15">
        <v>60000</v>
      </c>
      <c r="E25" s="9">
        <f>IF((D25-50000)&lt;0,D25,50000)</f>
        <v>50000</v>
      </c>
      <c r="F25" s="9"/>
      <c r="G25" s="9"/>
      <c r="H25" s="7"/>
      <c r="I25" s="9"/>
      <c r="J25" s="7"/>
    </row>
    <row r="26" spans="1:10" ht="31.5">
      <c r="A26" s="10"/>
      <c r="B26" s="3" t="s">
        <v>42</v>
      </c>
      <c r="C26" s="3" t="s">
        <v>43</v>
      </c>
      <c r="D26" s="15">
        <v>75000</v>
      </c>
      <c r="E26" s="9">
        <f>IF((D26-(0.1*E4))&lt;0,D26,(0.1*E4))</f>
        <v>75000</v>
      </c>
      <c r="F26" s="9"/>
      <c r="G26" s="9"/>
      <c r="H26" s="7"/>
      <c r="I26" s="9">
        <f>E26</f>
        <v>75000</v>
      </c>
      <c r="J26" s="7"/>
    </row>
    <row r="27" spans="1:10" ht="31.5">
      <c r="A27" s="10"/>
      <c r="B27" s="17" t="s">
        <v>44</v>
      </c>
      <c r="C27" s="3" t="s">
        <v>45</v>
      </c>
      <c r="D27" s="15">
        <v>45000</v>
      </c>
      <c r="E27" s="9">
        <f>IF((D27-50000)&lt;0,D27,50000)</f>
        <v>45000</v>
      </c>
      <c r="F27" s="9"/>
      <c r="G27" s="9"/>
      <c r="H27" s="7"/>
      <c r="I27" s="9"/>
      <c r="J27" s="7"/>
    </row>
    <row r="28" spans="1:10">
      <c r="A28" s="10"/>
      <c r="B28" s="3" t="s">
        <v>46</v>
      </c>
      <c r="C28" s="3"/>
      <c r="D28" s="9"/>
      <c r="E28" s="9">
        <f>E23+E25+E26+E27</f>
        <v>320000</v>
      </c>
      <c r="F28" s="9"/>
      <c r="G28" s="9"/>
      <c r="H28" s="7"/>
      <c r="I28" s="9">
        <f>I23+I25+I26+I27</f>
        <v>75000</v>
      </c>
      <c r="J28" s="7"/>
    </row>
    <row r="29" spans="1:10" ht="42" customHeight="1">
      <c r="A29" s="20"/>
      <c r="B29" s="71" t="s">
        <v>47</v>
      </c>
      <c r="C29" s="71"/>
      <c r="D29" s="21"/>
      <c r="E29" s="22">
        <f>E20-E28</f>
        <v>1380000</v>
      </c>
      <c r="F29" s="21"/>
      <c r="G29" s="22"/>
      <c r="H29" s="21"/>
      <c r="I29" s="22">
        <f>I20-I28</f>
        <v>1810000</v>
      </c>
      <c r="J29" s="21"/>
    </row>
    <row r="30" spans="1:10" ht="23.25">
      <c r="A30" s="76" t="s">
        <v>48</v>
      </c>
      <c r="B30" s="76"/>
      <c r="C30" s="76"/>
      <c r="D30" s="76"/>
      <c r="E30" s="76"/>
      <c r="F30" s="76"/>
      <c r="G30" s="76"/>
      <c r="H30" s="76"/>
      <c r="I30" s="76"/>
      <c r="J30" s="76"/>
    </row>
    <row r="31" spans="1:10" ht="63">
      <c r="A31" s="72" t="s">
        <v>49</v>
      </c>
      <c r="B31" s="28" t="s">
        <v>50</v>
      </c>
      <c r="C31" s="27"/>
      <c r="D31" s="27" t="s">
        <v>51</v>
      </c>
      <c r="E31" s="27" t="s">
        <v>52</v>
      </c>
      <c r="F31" s="27"/>
      <c r="G31" s="27" t="s">
        <v>53</v>
      </c>
      <c r="H31" s="27" t="s">
        <v>54</v>
      </c>
      <c r="I31" s="27" t="s">
        <v>53</v>
      </c>
      <c r="J31" s="27" t="s">
        <v>54</v>
      </c>
    </row>
    <row r="32" spans="1:10">
      <c r="A32" s="72"/>
      <c r="B32" s="27" t="s">
        <v>55</v>
      </c>
      <c r="C32" s="3"/>
      <c r="D32" s="27">
        <v>0</v>
      </c>
      <c r="E32" s="7">
        <v>0</v>
      </c>
      <c r="F32" s="7"/>
      <c r="G32" s="9"/>
      <c r="H32" s="7"/>
      <c r="I32" s="9">
        <v>0</v>
      </c>
      <c r="J32" s="7">
        <v>0</v>
      </c>
    </row>
    <row r="33" spans="1:10">
      <c r="A33" s="72"/>
      <c r="B33" s="77" t="s">
        <v>56</v>
      </c>
      <c r="C33" s="3"/>
      <c r="D33" s="80">
        <v>5</v>
      </c>
      <c r="E33" s="60">
        <v>12500</v>
      </c>
      <c r="F33" s="7"/>
      <c r="G33" s="9"/>
      <c r="H33" s="7"/>
      <c r="I33" s="9">
        <v>0</v>
      </c>
      <c r="J33" s="7">
        <v>0</v>
      </c>
    </row>
    <row r="34" spans="1:10">
      <c r="A34" s="72"/>
      <c r="B34" s="78"/>
      <c r="C34" s="3"/>
      <c r="D34" s="81"/>
      <c r="E34" s="61"/>
      <c r="F34" s="9"/>
      <c r="G34" s="9"/>
      <c r="H34" s="7"/>
      <c r="I34" s="35">
        <f>IF((700000-I29)&lt;0,10000,0)</f>
        <v>10000</v>
      </c>
      <c r="J34" s="34">
        <v>5</v>
      </c>
    </row>
    <row r="35" spans="1:10">
      <c r="A35" s="72"/>
      <c r="B35" s="77" t="s">
        <v>57</v>
      </c>
      <c r="C35" s="3"/>
      <c r="D35" s="54">
        <v>20</v>
      </c>
      <c r="E35" s="62">
        <v>100000</v>
      </c>
      <c r="F35" s="9"/>
      <c r="G35" s="9"/>
      <c r="H35" s="7"/>
      <c r="I35" s="35">
        <f>IF((700000-I29)&lt;0,5000,0)</f>
        <v>5000</v>
      </c>
      <c r="J35" s="34">
        <v>5</v>
      </c>
    </row>
    <row r="36" spans="1:10">
      <c r="A36" s="72"/>
      <c r="B36" s="79"/>
      <c r="C36" s="26"/>
      <c r="D36" s="55"/>
      <c r="E36" s="63"/>
      <c r="F36" s="9"/>
      <c r="G36" s="9"/>
      <c r="H36" s="7"/>
      <c r="I36" s="35">
        <f>IF((700000-I29)&lt;0,5000,0)</f>
        <v>5000</v>
      </c>
      <c r="J36" s="34">
        <v>5</v>
      </c>
    </row>
    <row r="37" spans="1:10">
      <c r="A37" s="72"/>
      <c r="B37" s="79"/>
      <c r="C37" s="3"/>
      <c r="D37" s="55"/>
      <c r="E37" s="63"/>
      <c r="F37" s="9"/>
      <c r="G37" s="9"/>
      <c r="H37" s="7"/>
      <c r="I37" s="39">
        <f>IF((900000-I29)&lt;0,20000,MAX(0,(I29-700000)*J37/100))</f>
        <v>20000</v>
      </c>
      <c r="J37" s="38">
        <v>10</v>
      </c>
    </row>
    <row r="38" spans="1:10">
      <c r="A38" s="72"/>
      <c r="B38" s="78"/>
      <c r="C38" s="3"/>
      <c r="D38" s="56"/>
      <c r="E38" s="64"/>
      <c r="F38" s="9"/>
      <c r="G38" s="9"/>
      <c r="H38" s="7"/>
      <c r="I38" s="39">
        <f>IF((1000000-I29)&lt;0,10000,MAX(0,(I29-900000)*J38/100))</f>
        <v>10000</v>
      </c>
      <c r="J38" s="38">
        <v>10</v>
      </c>
    </row>
    <row r="39" spans="1:10">
      <c r="A39" s="72"/>
      <c r="B39" s="77" t="s">
        <v>58</v>
      </c>
      <c r="C39" s="3"/>
      <c r="D39" s="57">
        <v>30</v>
      </c>
      <c r="E39" s="65">
        <v>114000</v>
      </c>
      <c r="F39" s="9"/>
      <c r="G39" s="9"/>
      <c r="H39" s="7"/>
      <c r="I39" s="42">
        <f>IF((1200000-I29)&lt;0,30000,MAX(0,(I29-1000000)*J39/100))</f>
        <v>30000</v>
      </c>
      <c r="J39" s="43">
        <v>15</v>
      </c>
    </row>
    <row r="40" spans="1:10">
      <c r="A40" s="72"/>
      <c r="B40" s="79"/>
      <c r="C40" s="3"/>
      <c r="D40" s="58"/>
      <c r="E40" s="66"/>
      <c r="F40" s="9"/>
      <c r="G40" s="9"/>
      <c r="H40" s="7"/>
      <c r="I40" s="37">
        <f>IF((1500000-I29)&lt;0,60000,MAX(0,(I29-1200000)*J40/100))</f>
        <v>60000</v>
      </c>
      <c r="J40" s="36">
        <v>20</v>
      </c>
    </row>
    <row r="41" spans="1:10">
      <c r="A41" s="72"/>
      <c r="B41" s="78"/>
      <c r="C41" s="3"/>
      <c r="D41" s="59"/>
      <c r="E41" s="67"/>
      <c r="F41" s="9"/>
      <c r="G41" s="9"/>
      <c r="H41" s="7"/>
      <c r="I41" s="44">
        <f>IF(I29&lt;1500000,0,(I29-1500000)*J41/100)</f>
        <v>93000</v>
      </c>
      <c r="J41" s="45">
        <v>30</v>
      </c>
    </row>
    <row r="42" spans="1:10">
      <c r="A42" s="10"/>
      <c r="B42" s="5"/>
      <c r="C42" s="5"/>
      <c r="D42" s="8"/>
      <c r="E42" s="8"/>
      <c r="F42" s="8"/>
      <c r="G42" s="8"/>
      <c r="H42" s="8"/>
      <c r="I42" s="8"/>
      <c r="J42" s="8"/>
    </row>
    <row r="43" spans="1:10" ht="31.5">
      <c r="A43" s="10"/>
      <c r="B43" s="4" t="s">
        <v>59</v>
      </c>
      <c r="C43" s="4" t="s">
        <v>60</v>
      </c>
      <c r="D43" s="6"/>
      <c r="E43" s="23">
        <f>SUM(E32:E41)</f>
        <v>226500</v>
      </c>
      <c r="F43" s="6"/>
      <c r="G43" s="23"/>
      <c r="H43" s="6"/>
      <c r="I43" s="23">
        <f>SUM(I32:I41)</f>
        <v>233000</v>
      </c>
      <c r="J43" s="6"/>
    </row>
    <row r="44" spans="1:10">
      <c r="A44" s="10"/>
      <c r="B44" s="4"/>
      <c r="C44" s="4" t="s">
        <v>61</v>
      </c>
      <c r="D44" s="6"/>
      <c r="E44" s="23">
        <f>E18*0.15+E19*0.1</f>
        <v>23000</v>
      </c>
      <c r="F44" s="6"/>
      <c r="G44" s="23"/>
      <c r="H44" s="6"/>
      <c r="I44" s="23">
        <f>I18*0.2+I19*0.125</f>
        <v>27125</v>
      </c>
      <c r="J44" s="6"/>
    </row>
    <row r="45" spans="1:10">
      <c r="A45" s="10"/>
      <c r="B45" s="4" t="s">
        <v>62</v>
      </c>
      <c r="C45" s="4"/>
      <c r="D45" s="6"/>
      <c r="E45" s="23">
        <f>(E43+E44)*0.04</f>
        <v>9980</v>
      </c>
      <c r="F45" s="6"/>
      <c r="G45" s="23"/>
      <c r="H45" s="6"/>
      <c r="I45" s="23">
        <f>(I43+I44)*0.04</f>
        <v>10405</v>
      </c>
      <c r="J45" s="6"/>
    </row>
    <row r="46" spans="1:10" s="1" customFormat="1" ht="29.25" customHeight="1">
      <c r="A46" s="33"/>
      <c r="B46" s="50" t="s">
        <v>63</v>
      </c>
      <c r="C46" s="50"/>
      <c r="D46" s="50"/>
      <c r="E46" s="25">
        <f>E43+E44+E45</f>
        <v>259480</v>
      </c>
      <c r="F46" s="24"/>
      <c r="G46" s="25"/>
      <c r="H46" s="24"/>
      <c r="I46" s="25">
        <f>I43+I44+I45</f>
        <v>270530</v>
      </c>
      <c r="J46" s="24"/>
    </row>
    <row r="47" spans="1:10" s="32" customFormat="1" ht="31.5" customHeight="1">
      <c r="A47" s="29"/>
      <c r="B47" s="51" t="s">
        <v>64</v>
      </c>
      <c r="C47" s="51"/>
      <c r="D47" s="51"/>
      <c r="E47" s="51"/>
      <c r="F47" s="30"/>
      <c r="G47" s="31"/>
      <c r="H47" s="30"/>
      <c r="I47" s="31">
        <f>I46-E46</f>
        <v>11050</v>
      </c>
      <c r="J47" s="30"/>
    </row>
    <row r="51" spans="2:3" ht="180.75">
      <c r="B51" s="46" t="s">
        <v>65</v>
      </c>
      <c r="C51" s="46" t="s">
        <v>66</v>
      </c>
    </row>
  </sheetData>
  <mergeCells count="26">
    <mergeCell ref="A1:J1"/>
    <mergeCell ref="A2:J2"/>
    <mergeCell ref="B3:J3"/>
    <mergeCell ref="B29:C29"/>
    <mergeCell ref="A31:A41"/>
    <mergeCell ref="A11:A14"/>
    <mergeCell ref="B14:C14"/>
    <mergeCell ref="B20:C20"/>
    <mergeCell ref="C23:C24"/>
    <mergeCell ref="E23:E24"/>
    <mergeCell ref="A21:J21"/>
    <mergeCell ref="A30:J30"/>
    <mergeCell ref="B33:B34"/>
    <mergeCell ref="B35:B38"/>
    <mergeCell ref="B39:B41"/>
    <mergeCell ref="D33:D34"/>
    <mergeCell ref="B46:D46"/>
    <mergeCell ref="B47:E47"/>
    <mergeCell ref="A4:A10"/>
    <mergeCell ref="B8:C8"/>
    <mergeCell ref="B9:C9"/>
    <mergeCell ref="D35:D38"/>
    <mergeCell ref="D39:D41"/>
    <mergeCell ref="E33:E34"/>
    <mergeCell ref="E35:E38"/>
    <mergeCell ref="E39:E4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4"/>
  <sheetViews>
    <sheetView tabSelected="1" topLeftCell="A4" workbookViewId="0">
      <selection activeCell="L44" sqref="L44"/>
    </sheetView>
  </sheetViews>
  <sheetFormatPr defaultRowHeight="15.75"/>
  <cols>
    <col min="1" max="1" width="8.42578125" style="12" customWidth="1"/>
    <col min="2" max="2" width="33.140625" customWidth="1"/>
    <col min="3" max="3" width="42" customWidth="1"/>
    <col min="4" max="4" width="12.85546875" style="1" bestFit="1" customWidth="1"/>
    <col min="5" max="5" width="15.42578125" hidden="1" customWidth="1"/>
    <col min="6" max="6" width="10.85546875" style="2" hidden="1" customWidth="1"/>
    <col min="7" max="7" width="15.85546875" hidden="1" customWidth="1"/>
    <col min="8" max="8" width="9" style="1" hidden="1" customWidth="1"/>
    <col min="9" max="9" width="15.42578125" bestFit="1" customWidth="1"/>
    <col min="10" max="10" width="9" style="1" bestFit="1" customWidth="1"/>
    <col min="19" max="19" width="15.85546875" customWidth="1"/>
    <col min="20" max="20" width="9.140625" style="32"/>
  </cols>
  <sheetData>
    <row r="1" spans="1:10" ht="31.5" customHeight="1">
      <c r="A1" s="68" t="s">
        <v>0</v>
      </c>
      <c r="B1" s="68"/>
      <c r="C1" s="68"/>
      <c r="D1" s="68"/>
      <c r="E1" s="68"/>
      <c r="F1" s="68"/>
      <c r="G1" s="68"/>
      <c r="H1" s="68"/>
      <c r="I1" s="68"/>
      <c r="J1" s="68"/>
    </row>
    <row r="2" spans="1:10" ht="33.75">
      <c r="A2" s="69" t="s">
        <v>1</v>
      </c>
      <c r="B2" s="69"/>
      <c r="C2" s="69"/>
      <c r="D2" s="69"/>
      <c r="E2" s="69"/>
      <c r="F2" s="69"/>
      <c r="G2" s="69"/>
      <c r="H2" s="69"/>
      <c r="I2" s="69"/>
      <c r="J2" s="69"/>
    </row>
    <row r="3" spans="1:10" ht="26.25" customHeight="1">
      <c r="A3" s="10"/>
      <c r="B3" s="70" t="s">
        <v>2</v>
      </c>
      <c r="C3" s="70"/>
      <c r="D3" s="70"/>
      <c r="E3" s="70"/>
      <c r="F3" s="70"/>
      <c r="G3" s="70"/>
      <c r="H3" s="70"/>
      <c r="I3" s="70"/>
      <c r="J3" s="70"/>
    </row>
    <row r="4" spans="1:10">
      <c r="A4" s="52" t="s">
        <v>3</v>
      </c>
      <c r="B4" s="3" t="s">
        <v>4</v>
      </c>
      <c r="C4" s="3" t="s">
        <v>5</v>
      </c>
      <c r="D4" s="7"/>
      <c r="E4" s="13">
        <f>E5+E6+E7</f>
        <v>1900000</v>
      </c>
      <c r="F4" s="11"/>
      <c r="G4" s="9"/>
      <c r="H4" s="11"/>
      <c r="I4" s="9">
        <f>E4</f>
        <v>1900000</v>
      </c>
      <c r="J4" s="11"/>
    </row>
    <row r="5" spans="1:10">
      <c r="A5" s="52"/>
      <c r="B5" s="3"/>
      <c r="C5" s="3" t="s">
        <v>6</v>
      </c>
      <c r="D5" s="7"/>
      <c r="E5" s="14">
        <v>1800000</v>
      </c>
      <c r="F5" s="9"/>
      <c r="G5" s="9"/>
      <c r="H5" s="7"/>
      <c r="I5" s="9"/>
      <c r="J5" s="7"/>
    </row>
    <row r="6" spans="1:10">
      <c r="A6" s="52"/>
      <c r="B6" s="3"/>
      <c r="C6" s="3" t="s">
        <v>7</v>
      </c>
      <c r="D6" s="7"/>
      <c r="E6" s="15">
        <v>100000</v>
      </c>
      <c r="F6" s="9"/>
      <c r="G6" s="9"/>
      <c r="H6" s="7"/>
      <c r="I6" s="9"/>
      <c r="J6" s="7"/>
    </row>
    <row r="7" spans="1:10" ht="31.5">
      <c r="A7" s="52"/>
      <c r="B7" s="3"/>
      <c r="C7" s="3" t="s">
        <v>8</v>
      </c>
      <c r="D7" s="7"/>
      <c r="E7" s="15">
        <v>0</v>
      </c>
      <c r="F7" s="9"/>
      <c r="G7" s="9"/>
      <c r="H7" s="7"/>
      <c r="I7" s="9">
        <f>E7</f>
        <v>0</v>
      </c>
      <c r="J7" s="7"/>
    </row>
    <row r="8" spans="1:10">
      <c r="A8" s="52"/>
      <c r="B8" s="53" t="s">
        <v>9</v>
      </c>
      <c r="C8" s="53"/>
      <c r="D8" s="7" t="s">
        <v>10</v>
      </c>
      <c r="E8" s="15">
        <v>0</v>
      </c>
      <c r="F8" s="9"/>
      <c r="G8" s="9"/>
      <c r="H8" s="7"/>
      <c r="I8" s="9">
        <v>0</v>
      </c>
      <c r="J8" s="7"/>
    </row>
    <row r="9" spans="1:10">
      <c r="A9" s="52"/>
      <c r="B9" s="53" t="s">
        <v>11</v>
      </c>
      <c r="C9" s="53"/>
      <c r="D9" s="7"/>
      <c r="E9" s="9">
        <v>50000</v>
      </c>
      <c r="F9" s="7"/>
      <c r="G9" s="9"/>
      <c r="H9" s="7"/>
      <c r="I9" s="9">
        <v>75000</v>
      </c>
      <c r="J9" s="7"/>
    </row>
    <row r="10" spans="1:10">
      <c r="A10" s="52"/>
      <c r="B10" s="3" t="s">
        <v>12</v>
      </c>
      <c r="C10" s="3"/>
      <c r="D10" s="7"/>
      <c r="E10" s="9">
        <f>E4-E8-E9</f>
        <v>1850000</v>
      </c>
      <c r="F10" s="9"/>
      <c r="G10" s="9"/>
      <c r="H10" s="7"/>
      <c r="I10" s="9">
        <f>I4-I8-I9</f>
        <v>1825000</v>
      </c>
      <c r="J10" s="7"/>
    </row>
    <row r="11" spans="1:10">
      <c r="A11" s="52" t="s">
        <v>13</v>
      </c>
      <c r="B11" s="3" t="s">
        <v>14</v>
      </c>
      <c r="C11" s="3" t="s">
        <v>15</v>
      </c>
      <c r="D11" s="7"/>
      <c r="E11" s="9"/>
      <c r="F11" s="9"/>
      <c r="G11" s="9"/>
      <c r="H11" s="7"/>
      <c r="I11" s="9"/>
      <c r="J11" s="7"/>
    </row>
    <row r="12" spans="1:10" ht="31.5">
      <c r="A12" s="52"/>
      <c r="B12" s="3" t="s">
        <v>16</v>
      </c>
      <c r="C12" s="3"/>
      <c r="D12" s="7"/>
      <c r="E12" s="14">
        <v>0</v>
      </c>
      <c r="F12" s="9"/>
      <c r="G12" s="9"/>
      <c r="H12" s="7"/>
      <c r="I12" s="9"/>
      <c r="J12" s="7"/>
    </row>
    <row r="13" spans="1:10">
      <c r="A13" s="52"/>
      <c r="B13" s="3" t="s">
        <v>17</v>
      </c>
      <c r="C13" s="3"/>
      <c r="D13" s="7"/>
      <c r="E13" s="14">
        <v>200000</v>
      </c>
      <c r="F13" s="9"/>
      <c r="G13" s="9"/>
      <c r="H13" s="7"/>
      <c r="I13" s="9"/>
      <c r="J13" s="7"/>
    </row>
    <row r="14" spans="1:10">
      <c r="A14" s="52"/>
      <c r="B14" s="53" t="s">
        <v>18</v>
      </c>
      <c r="C14" s="53"/>
      <c r="D14" s="7"/>
      <c r="E14" s="9">
        <f>E12-E13</f>
        <v>-200000</v>
      </c>
      <c r="F14" s="9"/>
      <c r="G14" s="9"/>
      <c r="H14" s="7"/>
      <c r="I14" s="9">
        <v>0</v>
      </c>
      <c r="J14" s="7"/>
    </row>
    <row r="15" spans="1:10">
      <c r="A15" s="27" t="s">
        <v>19</v>
      </c>
      <c r="B15" s="3" t="s">
        <v>20</v>
      </c>
      <c r="C15" s="3" t="s">
        <v>21</v>
      </c>
      <c r="D15" s="15">
        <v>20000</v>
      </c>
      <c r="E15" s="16">
        <f>D15</f>
        <v>20000</v>
      </c>
      <c r="F15" s="9"/>
      <c r="G15" s="9"/>
      <c r="H15" s="7"/>
      <c r="I15" s="9">
        <f>D15</f>
        <v>20000</v>
      </c>
      <c r="J15" s="7"/>
    </row>
    <row r="16" spans="1:10">
      <c r="A16" s="10"/>
      <c r="B16" s="17" t="s">
        <v>22</v>
      </c>
      <c r="C16" s="3" t="s">
        <v>23</v>
      </c>
      <c r="D16" s="15">
        <v>25000</v>
      </c>
      <c r="E16" s="9">
        <f>IF((D16-10000)&lt;0,0,D16-10000)</f>
        <v>15000</v>
      </c>
      <c r="F16" s="9"/>
      <c r="G16" s="9"/>
      <c r="H16" s="7"/>
      <c r="I16" s="9">
        <f>D16</f>
        <v>25000</v>
      </c>
      <c r="J16" s="7"/>
    </row>
    <row r="17" spans="1:10" ht="31.5">
      <c r="A17" s="27"/>
      <c r="B17" s="3" t="s">
        <v>24</v>
      </c>
      <c r="C17" s="3" t="s">
        <v>25</v>
      </c>
      <c r="D17" s="15">
        <v>15000</v>
      </c>
      <c r="E17" s="16">
        <f>D17</f>
        <v>15000</v>
      </c>
      <c r="F17" s="9"/>
      <c r="G17" s="16"/>
      <c r="H17" s="7"/>
      <c r="I17" s="16">
        <f>D17</f>
        <v>15000</v>
      </c>
      <c r="J17" s="7"/>
    </row>
    <row r="18" spans="1:10" ht="31.5">
      <c r="A18" s="27"/>
      <c r="B18" s="17" t="s">
        <v>26</v>
      </c>
      <c r="C18" s="3" t="s">
        <v>27</v>
      </c>
      <c r="D18" s="15">
        <v>120000</v>
      </c>
      <c r="E18" s="16">
        <f>D18</f>
        <v>120000</v>
      </c>
      <c r="F18" s="9"/>
      <c r="G18" s="16"/>
      <c r="H18" s="7"/>
      <c r="I18" s="16">
        <f>D18</f>
        <v>120000</v>
      </c>
      <c r="J18" s="7"/>
    </row>
    <row r="19" spans="1:10" ht="31.5">
      <c r="A19" s="27"/>
      <c r="B19" s="17" t="s">
        <v>28</v>
      </c>
      <c r="C19" s="3" t="s">
        <v>29</v>
      </c>
      <c r="D19" s="15">
        <v>150000</v>
      </c>
      <c r="E19" s="16">
        <f>IF((D19-100000)&lt;0,0,D19-100000)</f>
        <v>50000</v>
      </c>
      <c r="F19" s="9"/>
      <c r="G19" s="9"/>
      <c r="H19" s="7"/>
      <c r="I19" s="16">
        <f>IF((D19-125000)&lt;0,0,D19-125000)</f>
        <v>25000</v>
      </c>
      <c r="J19" s="7"/>
    </row>
    <row r="20" spans="1:10" ht="43.5" customHeight="1">
      <c r="A20" s="18" t="s">
        <v>30</v>
      </c>
      <c r="B20" s="71" t="s">
        <v>31</v>
      </c>
      <c r="C20" s="71"/>
      <c r="D20" s="18"/>
      <c r="E20" s="19">
        <f>E10+E14+E15+E16+E17</f>
        <v>1700000</v>
      </c>
      <c r="F20" s="19"/>
      <c r="G20" s="19"/>
      <c r="H20" s="18"/>
      <c r="I20" s="19">
        <f>I10+I14+I15+I16+I17</f>
        <v>1885000</v>
      </c>
      <c r="J20" s="18"/>
    </row>
    <row r="21" spans="1:10" ht="23.25" customHeight="1">
      <c r="A21" s="75" t="s">
        <v>32</v>
      </c>
      <c r="B21" s="75"/>
      <c r="C21" s="75"/>
      <c r="D21" s="75"/>
      <c r="E21" s="75"/>
      <c r="F21" s="75"/>
      <c r="G21" s="75"/>
      <c r="H21" s="75"/>
      <c r="I21" s="75"/>
      <c r="J21" s="75"/>
    </row>
    <row r="22" spans="1:10" ht="31.5">
      <c r="A22" s="27"/>
      <c r="B22" s="27" t="s">
        <v>33</v>
      </c>
      <c r="C22" s="27" t="s">
        <v>34</v>
      </c>
      <c r="D22" s="27" t="s">
        <v>35</v>
      </c>
      <c r="E22" s="27" t="s">
        <v>36</v>
      </c>
      <c r="F22" s="27"/>
      <c r="G22" s="27"/>
      <c r="H22" s="27"/>
      <c r="I22" s="27"/>
      <c r="J22" s="27"/>
    </row>
    <row r="23" spans="1:10" ht="31.5">
      <c r="A23" s="10"/>
      <c r="B23" s="3" t="s">
        <v>37</v>
      </c>
      <c r="C23" s="73" t="s">
        <v>38</v>
      </c>
      <c r="D23" s="14">
        <v>130000</v>
      </c>
      <c r="E23" s="74">
        <f>IF((D23+D24-150000)&lt;0,D23+D24,150000)</f>
        <v>150000</v>
      </c>
      <c r="F23" s="9"/>
      <c r="G23" s="9"/>
      <c r="H23" s="7"/>
      <c r="I23" s="9"/>
      <c r="J23" s="7"/>
    </row>
    <row r="24" spans="1:10" ht="47.25">
      <c r="A24" s="10"/>
      <c r="B24" s="3" t="s">
        <v>39</v>
      </c>
      <c r="C24" s="73"/>
      <c r="D24" s="14">
        <v>45000</v>
      </c>
      <c r="E24" s="74"/>
      <c r="F24" s="9"/>
      <c r="G24" s="9"/>
      <c r="H24" s="7"/>
      <c r="I24" s="9"/>
      <c r="J24" s="7"/>
    </row>
    <row r="25" spans="1:10" ht="31.5">
      <c r="A25" s="10"/>
      <c r="B25" s="3" t="s">
        <v>40</v>
      </c>
      <c r="C25" s="3" t="s">
        <v>41</v>
      </c>
      <c r="D25" s="15">
        <v>60000</v>
      </c>
      <c r="E25" s="9">
        <f>IF((D25-50000)&lt;0,D25,50000)</f>
        <v>50000</v>
      </c>
      <c r="F25" s="9"/>
      <c r="G25" s="9"/>
      <c r="H25" s="7"/>
      <c r="I25" s="9"/>
      <c r="J25" s="7"/>
    </row>
    <row r="26" spans="1:10" ht="31.5">
      <c r="A26" s="10"/>
      <c r="B26" s="3" t="s">
        <v>42</v>
      </c>
      <c r="C26" s="3" t="s">
        <v>43</v>
      </c>
      <c r="D26" s="15">
        <v>75000</v>
      </c>
      <c r="E26" s="9">
        <f>IF((D26-(0.1*E4))&lt;0,D26,(0.1*E4))</f>
        <v>75000</v>
      </c>
      <c r="F26" s="9"/>
      <c r="G26" s="9"/>
      <c r="H26" s="7"/>
      <c r="I26" s="9">
        <f>E26</f>
        <v>75000</v>
      </c>
      <c r="J26" s="7"/>
    </row>
    <row r="27" spans="1:10" ht="31.5">
      <c r="A27" s="10"/>
      <c r="B27" s="17" t="s">
        <v>44</v>
      </c>
      <c r="C27" s="3" t="s">
        <v>45</v>
      </c>
      <c r="D27" s="15">
        <v>45000</v>
      </c>
      <c r="E27" s="9">
        <f>IF((D27-50000)&lt;0,D27,50000)</f>
        <v>45000</v>
      </c>
      <c r="F27" s="9"/>
      <c r="G27" s="9"/>
      <c r="H27" s="7"/>
      <c r="I27" s="9"/>
      <c r="J27" s="7"/>
    </row>
    <row r="28" spans="1:10">
      <c r="A28" s="10"/>
      <c r="B28" s="3" t="s">
        <v>46</v>
      </c>
      <c r="C28" s="3"/>
      <c r="D28" s="9"/>
      <c r="E28" s="9">
        <f>E23+E25+E26+E27</f>
        <v>320000</v>
      </c>
      <c r="F28" s="9"/>
      <c r="G28" s="9"/>
      <c r="H28" s="7"/>
      <c r="I28" s="9">
        <f>I23+I25+I26+I27</f>
        <v>75000</v>
      </c>
      <c r="J28" s="7"/>
    </row>
    <row r="29" spans="1:10" ht="42" customHeight="1">
      <c r="A29" s="20"/>
      <c r="B29" s="71" t="s">
        <v>47</v>
      </c>
      <c r="C29" s="71"/>
      <c r="D29" s="21"/>
      <c r="E29" s="22">
        <f>E20-E28</f>
        <v>1380000</v>
      </c>
      <c r="F29" s="21"/>
      <c r="G29" s="22"/>
      <c r="H29" s="21"/>
      <c r="I29" s="22">
        <f>I20-I28</f>
        <v>1810000</v>
      </c>
      <c r="J29" s="21"/>
    </row>
    <row r="30" spans="1:10" ht="23.25">
      <c r="A30" s="76" t="s">
        <v>48</v>
      </c>
      <c r="B30" s="76"/>
      <c r="C30" s="76"/>
      <c r="D30" s="76"/>
      <c r="E30" s="76"/>
      <c r="F30" s="76"/>
      <c r="G30" s="76"/>
      <c r="H30" s="76"/>
      <c r="I30" s="76"/>
      <c r="J30" s="76"/>
    </row>
    <row r="31" spans="1:10" ht="63">
      <c r="A31" s="72" t="s">
        <v>49</v>
      </c>
      <c r="B31" s="28" t="s">
        <v>50</v>
      </c>
      <c r="C31" s="27"/>
      <c r="D31" s="27" t="s">
        <v>51</v>
      </c>
      <c r="E31" s="27" t="s">
        <v>52</v>
      </c>
      <c r="F31" s="27"/>
      <c r="G31" s="27" t="s">
        <v>53</v>
      </c>
      <c r="H31" s="27" t="s">
        <v>54</v>
      </c>
      <c r="I31" s="27" t="s">
        <v>53</v>
      </c>
      <c r="J31" s="27" t="s">
        <v>54</v>
      </c>
    </row>
    <row r="32" spans="1:10">
      <c r="A32" s="72"/>
      <c r="B32" s="77" t="s">
        <v>67</v>
      </c>
      <c r="C32" s="3"/>
      <c r="D32" s="7"/>
      <c r="E32" s="7">
        <v>0</v>
      </c>
      <c r="F32" s="7"/>
      <c r="G32" s="9"/>
      <c r="H32" s="7"/>
      <c r="I32" s="82">
        <v>0</v>
      </c>
      <c r="J32" s="77">
        <v>0</v>
      </c>
    </row>
    <row r="33" spans="1:20">
      <c r="A33" s="72"/>
      <c r="B33" s="78"/>
      <c r="C33" s="3"/>
      <c r="D33" s="34"/>
      <c r="E33" s="35">
        <f>IF((500000-E29)&lt;0,2500,0)</f>
        <v>2500</v>
      </c>
      <c r="F33" s="7"/>
      <c r="G33" s="9"/>
      <c r="H33" s="7"/>
      <c r="I33" s="83"/>
      <c r="J33" s="78"/>
    </row>
    <row r="34" spans="1:20">
      <c r="A34" s="72"/>
      <c r="B34" s="77" t="s">
        <v>68</v>
      </c>
      <c r="C34" s="3"/>
      <c r="D34" s="34"/>
      <c r="E34" s="35">
        <f>IF((500000-E29)&lt;0,10000,0)</f>
        <v>10000</v>
      </c>
      <c r="F34" s="9"/>
      <c r="G34" s="9"/>
      <c r="H34" s="7"/>
      <c r="I34" s="60">
        <v>20000</v>
      </c>
      <c r="J34" s="80">
        <v>5</v>
      </c>
    </row>
    <row r="35" spans="1:20">
      <c r="A35" s="72"/>
      <c r="B35" s="79"/>
      <c r="C35" s="3"/>
      <c r="D35" s="38"/>
      <c r="E35" s="39">
        <f>IF((600000-E29)&lt;0,20000,MAX(0,(E29-500000)*D35/100))</f>
        <v>20000</v>
      </c>
      <c r="F35" s="9"/>
      <c r="G35" s="9"/>
      <c r="H35" s="7"/>
      <c r="I35" s="84"/>
      <c r="J35" s="85"/>
    </row>
    <row r="36" spans="1:20">
      <c r="A36" s="72"/>
      <c r="B36" s="78"/>
      <c r="C36" s="26"/>
      <c r="D36" s="38"/>
      <c r="E36" s="39">
        <f>IF((700000-E29)&lt;0,20000,MAX(0,(E29-600000)*D36/100))</f>
        <v>20000</v>
      </c>
      <c r="F36" s="9"/>
      <c r="G36" s="9"/>
      <c r="H36" s="7"/>
      <c r="I36" s="61"/>
      <c r="J36" s="81"/>
    </row>
    <row r="37" spans="1:20">
      <c r="A37" s="72"/>
      <c r="B37" s="77" t="s">
        <v>69</v>
      </c>
      <c r="C37" s="3"/>
      <c r="D37" s="38"/>
      <c r="E37" s="39">
        <f>IF((900000-E29)&lt;0,40000,MAX(0,(E29-700000)*D37/100))</f>
        <v>40000</v>
      </c>
      <c r="F37" s="9"/>
      <c r="G37" s="9"/>
      <c r="H37" s="7"/>
      <c r="I37" s="62">
        <v>30000</v>
      </c>
      <c r="J37" s="54">
        <v>10</v>
      </c>
    </row>
    <row r="38" spans="1:20">
      <c r="A38" s="72"/>
      <c r="B38" s="78"/>
      <c r="C38" s="3"/>
      <c r="D38" s="38"/>
      <c r="E38" s="39">
        <f>IF((1000000-E29)&lt;0,20000,MAX(0,(E29-900000)*D38/100))</f>
        <v>20000</v>
      </c>
      <c r="F38" s="9"/>
      <c r="G38" s="9"/>
      <c r="H38" s="7"/>
      <c r="I38" s="64"/>
      <c r="J38" s="56"/>
    </row>
    <row r="39" spans="1:20">
      <c r="A39" s="72"/>
      <c r="B39" s="3" t="s">
        <v>70</v>
      </c>
      <c r="C39" s="3"/>
      <c r="D39" s="40"/>
      <c r="E39" s="41">
        <f>IF((1200000-E29)&lt;0,60000,MAX(0,(E29-1000000)*D39/100))</f>
        <v>60000</v>
      </c>
      <c r="F39" s="9"/>
      <c r="G39" s="9"/>
      <c r="H39" s="7"/>
      <c r="I39" s="42">
        <f>IF((1200000-I29)&lt;0,30000,MAX(0,(I29-1000000)*J39/100))</f>
        <v>30000</v>
      </c>
      <c r="J39" s="43">
        <v>15</v>
      </c>
    </row>
    <row r="40" spans="1:20">
      <c r="A40" s="72"/>
      <c r="B40" s="3" t="s">
        <v>71</v>
      </c>
      <c r="C40" s="3"/>
      <c r="D40" s="40"/>
      <c r="E40" s="41">
        <f>IF((1500000-E29)&lt;0,90000,MAX(0,(E29-1200000)*D40/100))</f>
        <v>0</v>
      </c>
      <c r="F40" s="9"/>
      <c r="G40" s="9"/>
      <c r="H40" s="7"/>
      <c r="I40" s="37">
        <f>IF((1500000-I29)&lt;0,60000,MAX(0,(I29-1200000)*J40/100))</f>
        <v>60000</v>
      </c>
      <c r="J40" s="36">
        <v>20</v>
      </c>
    </row>
    <row r="41" spans="1:20">
      <c r="A41" s="72"/>
      <c r="B41" s="3" t="s">
        <v>72</v>
      </c>
      <c r="C41" s="3"/>
      <c r="D41" s="40"/>
      <c r="E41" s="41">
        <f>IF(E29&lt;1500000,0,(E29-1500000)*D41/100)</f>
        <v>0</v>
      </c>
      <c r="F41" s="9"/>
      <c r="G41" s="9"/>
      <c r="H41" s="7"/>
      <c r="I41" s="44">
        <f>IF(I29&lt;1500000,0,(I29-1500000)*J41/100)</f>
        <v>93000</v>
      </c>
      <c r="J41" s="45">
        <v>30</v>
      </c>
    </row>
    <row r="42" spans="1:20">
      <c r="A42" s="10"/>
      <c r="B42" s="5"/>
      <c r="C42" s="5"/>
      <c r="D42" s="8"/>
      <c r="E42" s="8"/>
      <c r="F42" s="8"/>
      <c r="G42" s="8"/>
      <c r="H42" s="8"/>
      <c r="I42" s="8"/>
      <c r="J42" s="8"/>
    </row>
    <row r="43" spans="1:20" ht="31.5">
      <c r="A43" s="10"/>
      <c r="B43" s="4" t="s">
        <v>59</v>
      </c>
      <c r="C43" s="4" t="s">
        <v>60</v>
      </c>
      <c r="D43" s="6"/>
      <c r="E43" s="23">
        <f>SUM(E32:E41)</f>
        <v>172500</v>
      </c>
      <c r="F43" s="6"/>
      <c r="G43" s="23"/>
      <c r="H43" s="6"/>
      <c r="I43" s="23">
        <f>SUM(I32:I41)</f>
        <v>233000</v>
      </c>
      <c r="J43" s="6"/>
    </row>
    <row r="44" spans="1:20">
      <c r="A44" s="10"/>
      <c r="B44" s="4"/>
      <c r="C44" s="4" t="s">
        <v>61</v>
      </c>
      <c r="D44" s="6"/>
      <c r="E44" s="23">
        <f>E18*0.15+E19*0.1</f>
        <v>23000</v>
      </c>
      <c r="F44" s="6"/>
      <c r="G44" s="23"/>
      <c r="H44" s="6"/>
      <c r="I44" s="23">
        <f>I18*0.2+I19*0.125</f>
        <v>27125</v>
      </c>
      <c r="J44" s="6"/>
    </row>
    <row r="45" spans="1:20">
      <c r="A45" s="10"/>
      <c r="B45" s="4" t="s">
        <v>62</v>
      </c>
      <c r="C45" s="4"/>
      <c r="D45" s="6"/>
      <c r="E45" s="23">
        <f>(E43+E44)*0.04</f>
        <v>7820</v>
      </c>
      <c r="F45" s="6"/>
      <c r="G45" s="23"/>
      <c r="H45" s="6"/>
      <c r="I45" s="23">
        <f>(I43+I44)*0.04</f>
        <v>10405</v>
      </c>
      <c r="J45" s="6"/>
    </row>
    <row r="46" spans="1:20" s="1" customFormat="1" ht="29.25" customHeight="1">
      <c r="A46" s="33"/>
      <c r="B46" s="50" t="s">
        <v>63</v>
      </c>
      <c r="C46" s="50"/>
      <c r="D46" s="50"/>
      <c r="E46" s="25">
        <f>E43+E44+E45</f>
        <v>203320</v>
      </c>
      <c r="F46" s="24"/>
      <c r="G46" s="25"/>
      <c r="H46" s="24"/>
      <c r="I46" s="25">
        <f>I43+I44+I45</f>
        <v>270530</v>
      </c>
      <c r="J46" s="24"/>
      <c r="T46" s="32"/>
    </row>
    <row r="47" spans="1:20" s="32" customFormat="1" ht="31.5" customHeight="1">
      <c r="A47" s="29"/>
      <c r="B47" s="51" t="s">
        <v>64</v>
      </c>
      <c r="C47" s="51"/>
      <c r="D47" s="51"/>
      <c r="E47" s="51"/>
      <c r="F47" s="30"/>
      <c r="G47" s="31"/>
      <c r="H47" s="30"/>
      <c r="I47" s="31">
        <f>I46-E46</f>
        <v>67210</v>
      </c>
      <c r="J47" s="30"/>
    </row>
    <row r="50" spans="2:20">
      <c r="B50" s="47"/>
    </row>
    <row r="52" spans="2:20" ht="23.25">
      <c r="S52" s="49"/>
      <c r="T52" s="48"/>
    </row>
    <row r="53" spans="2:20" ht="23.25">
      <c r="S53" s="49"/>
      <c r="T53" s="48"/>
    </row>
    <row r="54" spans="2:20" ht="23.25">
      <c r="S54" s="49"/>
      <c r="T54" s="48"/>
    </row>
  </sheetData>
  <mergeCells count="26">
    <mergeCell ref="B29:C29"/>
    <mergeCell ref="A30:J30"/>
    <mergeCell ref="A31:A41"/>
    <mergeCell ref="B46:D46"/>
    <mergeCell ref="B47:E47"/>
    <mergeCell ref="B32:B33"/>
    <mergeCell ref="I32:I33"/>
    <mergeCell ref="J32:J33"/>
    <mergeCell ref="I34:I36"/>
    <mergeCell ref="J34:J36"/>
    <mergeCell ref="B34:B36"/>
    <mergeCell ref="I37:I38"/>
    <mergeCell ref="J37:J38"/>
    <mergeCell ref="B37:B38"/>
    <mergeCell ref="A11:A14"/>
    <mergeCell ref="B14:C14"/>
    <mergeCell ref="B20:C20"/>
    <mergeCell ref="A21:J21"/>
    <mergeCell ref="C23:C24"/>
    <mergeCell ref="E23:E24"/>
    <mergeCell ref="A1:J1"/>
    <mergeCell ref="A2:J2"/>
    <mergeCell ref="B3:J3"/>
    <mergeCell ref="A4:A10"/>
    <mergeCell ref="B8:C8"/>
    <mergeCell ref="B9:C9"/>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BD6B6F7A589964FA8EFF1EC22ABFF9A" ma:contentTypeVersion="4" ma:contentTypeDescription="Create a new document." ma:contentTypeScope="" ma:versionID="4e4172c0ec572c4403a740db4081f41f">
  <xsd:schema xmlns:xsd="http://www.w3.org/2001/XMLSchema" xmlns:xs="http://www.w3.org/2001/XMLSchema" xmlns:p="http://schemas.microsoft.com/office/2006/metadata/properties" xmlns:ns2="b48969ca-8cba-4929-964a-15b6078999fc" targetNamespace="http://schemas.microsoft.com/office/2006/metadata/properties" ma:root="true" ma:fieldsID="756c0f7595b871e7261fab573aeda177" ns2:_="">
    <xsd:import namespace="b48969ca-8cba-4929-964a-15b6078999f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8969ca-8cba-4929-964a-15b6078999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6173890-C8C1-4EED-AC04-27D43E8C27ED}"/>
</file>

<file path=customXml/itemProps2.xml><?xml version="1.0" encoding="utf-8"?>
<ds:datastoreItem xmlns:ds="http://schemas.openxmlformats.org/officeDocument/2006/customXml" ds:itemID="{37BCFED6-82DB-4126-AA49-3EAE708C18D7}"/>
</file>

<file path=customXml/itemProps3.xml><?xml version="1.0" encoding="utf-8"?>
<ds:datastoreItem xmlns:ds="http://schemas.openxmlformats.org/officeDocument/2006/customXml" ds:itemID="{9285C0E2-1ABD-4B55-8350-FBDD462CCD3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Vedika Sawant - 60019240013</cp:lastModifiedBy>
  <cp:revision/>
  <dcterms:created xsi:type="dcterms:W3CDTF">2006-09-16T00:00:00Z</dcterms:created>
  <dcterms:modified xsi:type="dcterms:W3CDTF">2024-11-09T10:40:47Z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0x010100EBD6B6F7A589964FA8EFF1EC22ABFF9A</vt:lpwstr>
  </property>
</Properties>
</file>